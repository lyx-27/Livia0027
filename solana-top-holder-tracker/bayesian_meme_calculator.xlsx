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190" windowHeight="17680"/>
  </bookViews>
  <sheets>
    <sheet name="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<sst xmlns="http://schemas.openxmlformats.org/spreadsheetml/2006/main" count="31" uniqueCount="25">
  <si>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Bayesian Meme Trade Calculator</t>
  </si>
  <si>
    <t>Prior probability (as %):</t>
  </si>
  <si>
    <t>Signal</t>
  </si>
  <si>
    <t>Include (Yes/No)</t>
  </si>
  <si>
    <t>LR (likelihood ratio)</t>
  </si>
  <si>
    <t>Used LR</t>
  </si>
  <si>
    <t>KOL strong positive post</t>
  </si>
  <si>
    <t>Yes</t>
  </si>
  <si>
    <t>Community sentiment surge</t>
  </si>
  <si>
    <t>K-line breakout + volume</t>
  </si>
  <si>
    <t>Moderator cautious statement</t>
  </si>
  <si>
    <t>Exchange listing rumor</t>
  </si>
  <si>
    <t>No</t>
  </si>
  <si>
    <t>Regulatory negative news</t>
  </si>
  <si>
    <t>Coordinated pump signs</t>
  </si>
  <si>
    <t>High-quality news article</t>
  </si>
  <si>
    <t>Total LR (product):</t>
  </si>
  <si>
    <t>Calculations</t>
  </si>
  <si>
    <t>Prior probability (%)</t>
  </si>
  <si>
    <t>Prior odds</t>
  </si>
  <si>
    <t>Posterior odds</t>
  </si>
  <si>
    <t>Posterior probability (%)</t>
  </si>
  <si>
    <t>Notes:</t>
  </si>
  <si>
    <t>- LR = P(signal|H) / P(signal|not H). Use &gt;=1 for supporting, &lt;1 for opposing.</t>
  </si>
  <si>
    <t>change Include to Yes/No and edit LR values.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</si>
</sst>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2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6"/>
  <sheetViews>
    <sheetView tabSelected="1" workbookViewId="0">
      <selection activeCell="C30" sqref="C30"/>
    </sheetView>
  </sheetViews>
  <sheetFormatPr defaultColWidth="9" defaultRowHeight="14" outlineLevelCol="5"/>
  <cols>
    <col min="1" max="5" width="36" customWidth="1"/>
  </cols>
  <sheetData>
    <row r="1" ht="17.5" spans="1:4">
      <c r="A1" s="1" t="s">
        <v>0</v>
      </c>
    </row>
    <row r="2" spans="1:4">
      <c r="A2" s="2"/>
    </row>
    <row r="4" spans="1:4">
      <c r="A4" s="3" t="s">
        <v>1</v>
      </c>
      <c r="C4" s="4">
        <v>5</v>
      </c>
    </row>
    <row r="6" spans="1:4">
      <c r="A6" s="3" t="s">
        <v>2</v>
      </c>
      <c r="B6" s="3" t="s">
        <v>3</v>
      </c>
      <c r="C6" s="3" t="s">
        <v>4</v>
      </c>
      <c r="D6" s="3" t="s">
        <v>5</v>
      </c>
    </row>
    <row r="7" spans="1:4">
      <c r="A7" t="s">
        <v>6</v>
      </c>
      <c r="B7" t="s">
        <v>7</v>
      </c>
      <c r="C7">
        <v>5</v>
      </c>
      <c r="D7">
        <f t="shared" ref="D7:D14" si="0">IF(B7="Yes",C7,1)</f>
        <v>5</v>
      </c>
    </row>
    <row r="8" spans="1:4">
      <c r="A8" t="s">
        <v>8</v>
      </c>
      <c r="B8" t="s">
        <v>7</v>
      </c>
      <c r="C8">
        <v>3</v>
      </c>
      <c r="D8">
        <f t="shared" si="0"/>
        <v>3</v>
      </c>
    </row>
    <row r="9" spans="1:4">
      <c r="A9" t="s">
        <v>9</v>
      </c>
      <c r="B9" t="s">
        <v>7</v>
      </c>
      <c r="C9">
        <v>4</v>
      </c>
      <c r="D9">
        <f t="shared" si="0"/>
        <v>4</v>
      </c>
    </row>
    <row r="10" spans="1:4">
      <c r="A10" t="s">
        <v>10</v>
      </c>
      <c r="B10" t="s">
        <v>7</v>
      </c>
      <c r="C10">
        <v>0.5</v>
      </c>
      <c r="D10">
        <f t="shared" si="0"/>
        <v>0.5</v>
      </c>
    </row>
    <row r="11" spans="1:4">
      <c r="A11" t="s">
        <v>11</v>
      </c>
      <c r="B11" t="s">
        <v>12</v>
      </c>
      <c r="C11">
        <v>6</v>
      </c>
      <c r="D11">
        <f t="shared" si="0"/>
        <v>1</v>
      </c>
    </row>
    <row r="12" spans="1:4">
      <c r="A12" t="s">
        <v>13</v>
      </c>
      <c r="B12" t="s">
        <v>12</v>
      </c>
      <c r="C12">
        <v>0.05</v>
      </c>
      <c r="D12">
        <f t="shared" si="0"/>
        <v>1</v>
      </c>
    </row>
    <row r="13" spans="1:4">
      <c r="A13" t="s">
        <v>14</v>
      </c>
      <c r="B13" t="s">
        <v>12</v>
      </c>
      <c r="C13">
        <v>0.8</v>
      </c>
      <c r="D13">
        <f t="shared" si="0"/>
        <v>1</v>
      </c>
    </row>
    <row r="14" spans="1:4">
      <c r="A14" t="s">
        <v>15</v>
      </c>
      <c r="B14" t="s">
        <v>12</v>
      </c>
      <c r="C14">
        <v>5</v>
      </c>
      <c r="D14">
        <f t="shared" si="0"/>
        <v>1</v>
      </c>
    </row>
    <row r="16" spans="1:4">
      <c r="C16" t="s">
        <v>16</v>
      </c>
      <c r="D16">
        <f>PRODUCT(D7:D14)</f>
        <v>30</v>
      </c>
    </row>
    <row r="18" spans="1:2">
      <c r="A18" t="s">
        <v>17</v>
      </c>
    </row>
    <row r="19" spans="1:2">
      <c r="A19" t="s">
        <v>18</v>
      </c>
      <c r="B19">
        <f>C4</f>
        <v>5</v>
      </c>
    </row>
    <row r="20" spans="1:2">
      <c r="A20" t="s">
        <v>19</v>
      </c>
      <c r="B20">
        <f>(C4/100)/(1-C4/100)</f>
        <v>0.0526315789473684</v>
      </c>
    </row>
    <row r="21" spans="1:2">
      <c r="A21" t="s">
        <v>20</v>
      </c>
      <c r="B21">
        <f>B20*D16</f>
        <v>1.57894736842105</v>
      </c>
    </row>
    <row r="22" spans="1:2">
      <c r="A22" t="s">
        <v>21</v>
      </c>
      <c r="B22">
        <f>(B21/(1+B21))*100</f>
        <v>61.2244897959184</v>
      </c>
    </row>
    <row r="24" spans="1:2">
      <c r="A24" t="s">
        <v>22</v>
      </c>
    </row>
    <row r="25" spans="1:2">
      <c r="A25" t="s">
        <v>23</v>
      </c>
    </row>
    <row r="26" spans="1:2">
      <c r="A26" t="s">
        <v>24</v>
      </c>
    </row>
  </sheetData>
  <mergeCells count="2">
    <mergeCell ref="A1:F1"/>
    <mergeCell ref="A2:F2"/>
  </mergeCells>
  <dataValidations count="1">
    <dataValidation type="list" showInputMessage="1" showErrorMessage="1" sqref="B7:B14">
      <formula1>"Yes,No"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chaos</cp:lastModifiedBy>
  <dcterms:created xsi:type="dcterms:W3CDTF">2025-08-08T10:00:00Z</dcterms:created>
  <dcterms:modified xsi:type="dcterms:W3CDTF">2025-11-15T13:55:43Z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279F8FC80FBC44B592D270E1329A82D8_12</vt:lpwstr>
  </property>
  <property fmtid="{D5CDD505-2E9C-101B-9397-08002B2CF9AE}" pid="3" name="KSOProductBuildVer">
    <vt:lpwstr>2052-12.1.0.23542</vt:lpwstr>
  </property>
</Properties>
</file>